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lia/Desktop/second year/2202B/Milestone 2/"/>
    </mc:Choice>
  </mc:AlternateContent>
  <xr:revisionPtr revIDLastSave="0" documentId="13_ncr:1_{BACA965D-63AF-C84F-A9BE-ED9FBD835A84}" xr6:coauthVersionLast="47" xr6:coauthVersionMax="47" xr10:uidLastSave="{00000000-0000-0000-0000-000000000000}"/>
  <bookViews>
    <workbookView xWindow="0" yWindow="2140" windowWidth="29400" windowHeight="16980" xr2:uid="{4D880E7F-15EA-B84C-9C2E-9EBD7202CD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G24" i="1"/>
</calcChain>
</file>

<file path=xl/sharedStrings.xml><?xml version="1.0" encoding="utf-8"?>
<sst xmlns="http://schemas.openxmlformats.org/spreadsheetml/2006/main" count="82" uniqueCount="50">
  <si>
    <t>#</t>
  </si>
  <si>
    <t>Item Description</t>
  </si>
  <si>
    <t>Units</t>
  </si>
  <si>
    <t>Quantity</t>
  </si>
  <si>
    <t>Unit cost</t>
  </si>
  <si>
    <t>Cost</t>
  </si>
  <si>
    <t>TOTAL</t>
  </si>
  <si>
    <t>Micro Servo Motors</t>
  </si>
  <si>
    <t>MSEduino Board</t>
  </si>
  <si>
    <t>Power Bank Battery</t>
  </si>
  <si>
    <t>Breadboard</t>
  </si>
  <si>
    <t>Ultrasonic Sensor</t>
  </si>
  <si>
    <t>Roller Brush</t>
  </si>
  <si>
    <t>Funnel</t>
  </si>
  <si>
    <t>IMU</t>
  </si>
  <si>
    <t>Electronics</t>
  </si>
  <si>
    <t>DC Motors</t>
  </si>
  <si>
    <t>Sensors</t>
  </si>
  <si>
    <t>Mechanical Components</t>
  </si>
  <si>
    <t>Sorting Tube</t>
  </si>
  <si>
    <t xml:space="preserve"> Trap Door</t>
  </si>
  <si>
    <t>EA</t>
  </si>
  <si>
    <t xml:space="preserve">DC Electric Motor With Gear Box </t>
  </si>
  <si>
    <t>Aliexpress</t>
  </si>
  <si>
    <t xml:space="preserve">Amazon </t>
  </si>
  <si>
    <t xml:space="preserve">Aliexpress </t>
  </si>
  <si>
    <t xml:space="preserve">Temu </t>
  </si>
  <si>
    <t>Custom PCB</t>
  </si>
  <si>
    <t>TCS3472 Color Sensor</t>
  </si>
  <si>
    <t>Supplier</t>
  </si>
  <si>
    <t>Part Number</t>
  </si>
  <si>
    <t>B0D1RJ44JF</t>
  </si>
  <si>
    <t>Team Manufactured</t>
  </si>
  <si>
    <t>601101171782206</t>
  </si>
  <si>
    <t>1005005156530155</t>
  </si>
  <si>
    <t>1005011764550161</t>
  </si>
  <si>
    <t>601099605660774</t>
  </si>
  <si>
    <t>601104528906315</t>
  </si>
  <si>
    <t>1005007009329460</t>
  </si>
  <si>
    <t>1005007560583027</t>
  </si>
  <si>
    <t>1005007865485289</t>
  </si>
  <si>
    <t xml:space="preserve">Scoop </t>
  </si>
  <si>
    <t>Bucket Arm</t>
  </si>
  <si>
    <t>Wheels</t>
  </si>
  <si>
    <t>Base/Chassis</t>
  </si>
  <si>
    <t>Front wheel axles</t>
  </si>
  <si>
    <t>Motor with encoders</t>
  </si>
  <si>
    <t>3D Printed Parts: Filament: 500 g (bamboo labs PLA Basic)</t>
  </si>
  <si>
    <t>Amazon</t>
  </si>
  <si>
    <t>B07N1FG61K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</si>
</sst>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333333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8" fontId="0" fillId="0" borderId="1" xfId="0" applyNumberFormat="1" applyBorder="1"/>
    <xf numFmtId="0" fontId="0" fillId="0" borderId="2" xfId="0" applyBorder="1" applyAlignment="1">
      <alignment horizontal="center"/>
    </xf>
    <xf numFmtId="0" fontId="4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2" fillId="0" borderId="1" xfId="1" applyBorder="1" applyAlignment="1">
      <alignment horizontal="center" vertical="top"/>
    </xf>
    <xf numFmtId="0" fontId="1" fillId="3" borderId="1" xfId="0" applyFont="1" applyFill="1" applyBorder="1"/>
    <xf numFmtId="0" fontId="0" fillId="4" borderId="1" xfId="0" applyFill="1" applyBorder="1"/>
    <xf numFmtId="164" fontId="0" fillId="0" borderId="1" xfId="0" applyNumberFormat="1" applyBorder="1" applyAlignment="1">
      <alignment horizontal="center" vertical="top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/>
    <xf numFmtId="0" fontId="0" fillId="4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4" borderId="2" xfId="0" applyFill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4" borderId="0" xfId="0" applyFill="1"/>
    <xf numFmtId="164" fontId="0" fillId="0" borderId="3" xfId="0" applyNumberForma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  <xf numFmtId="0" fontId="2" fillId="0" borderId="1" xfId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1005007865485289.html" TargetMode="External"/><Relationship Id="rId3" Type="http://schemas.openxmlformats.org/officeDocument/2006/relationships/hyperlink" Target="https://www.temu.com/ca/1pc-2pcs-400-830-hole-large-breadboard-line-mb-102-electronic-diy-circuit-board-breadboard-kit-g-601099605660774.html" TargetMode="External"/><Relationship Id="rId7" Type="http://schemas.openxmlformats.org/officeDocument/2006/relationships/hyperlink" Target="https://www.temu.com/ca/electric-motor-3-6v-dual-shaft-tt-magnetic-gearbox-engine-with-4pcs-plastic-car-tire-wheel-for-four-wheel-drive-car-robotic-body-aircraft-g-601101171782206.html" TargetMode="External"/><Relationship Id="rId2" Type="http://schemas.openxmlformats.org/officeDocument/2006/relationships/hyperlink" Target="https://www.aliexpress.com/item/1005011764550161.html" TargetMode="External"/><Relationship Id="rId1" Type="http://schemas.openxmlformats.org/officeDocument/2006/relationships/hyperlink" Target="https://www.aliexpress.com/item/1005005156530155.html" TargetMode="External"/><Relationship Id="rId6" Type="http://schemas.openxmlformats.org/officeDocument/2006/relationships/hyperlink" Target="https://www.aliexpress.com/item/1005007009329460.html" TargetMode="External"/><Relationship Id="rId11" Type="http://schemas.openxmlformats.org/officeDocument/2006/relationships/hyperlink" Target="https://www.amazon.ca/uxcell%C2%AE-GA12-N20-Encoder-Velocity-Measurement/dp/B07N1FG61K/ref=asc_df_B07N1FG61K?tag=bingshopdesk-20&amp;linkCode=df0&amp;hvadid=80127111503462&amp;hvnetw=o&amp;hvqmt=e&amp;hvbmt=be&amp;hvdev=c&amp;hvlocint=&amp;hvlocphy=124710&amp;hvtargid=pla-4583726576477183&amp;psc=1&amp;msclkid=26951319b4391a3881827acf2ca40248" TargetMode="External"/><Relationship Id="rId5" Type="http://schemas.openxmlformats.org/officeDocument/2006/relationships/hyperlink" Target="https://www.temu.com/ca/compatible-for-mpu-9250-6500-9-dof-imu-sensor-module-gy-6500-g-6011045289063158.html" TargetMode="External"/><Relationship Id="rId10" Type="http://schemas.openxmlformats.org/officeDocument/2006/relationships/hyperlink" Target="https://www.amazon.ca/dp/B0D1RJ44JF" TargetMode="External"/><Relationship Id="rId4" Type="http://schemas.openxmlformats.org/officeDocument/2006/relationships/hyperlink" Target="https://www.temu.com/ca/electric-motor-3-6v-dual-shaft-tt-magnetic-gearbox-engine-with-4pcs-plastic-car-tire-wheel-for-four-wheel-drive-car-robotic-body-aircraft-g-601101171782206.html" TargetMode="External"/><Relationship Id="rId9" Type="http://schemas.openxmlformats.org/officeDocument/2006/relationships/hyperlink" Target="https://www.aliexpress.com/item/100500756058302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5105B-E974-1C42-B8F4-DFD550026365}">
  <sheetPr>
    <pageSetUpPr fitToPage="1"/>
  </sheetPr>
  <dimension ref="A4:I24"/>
  <sheetViews>
    <sheetView tabSelected="1" topLeftCell="A2" zoomScaleNormal="150" workbookViewId="0">
      <selection activeCell="B27" sqref="B27"/>
    </sheetView>
  </sheetViews>
  <sheetFormatPr baseColWidth="10" defaultRowHeight="16" x14ac:dyDescent="0.2"/>
  <cols>
    <col min="1" max="1" width="49" customWidth="1"/>
    <col min="2" max="2" width="9.33203125" customWidth="1"/>
    <col min="3" max="3" width="31.33203125" customWidth="1"/>
    <col min="7" max="7" width="12.6640625" customWidth="1"/>
    <col min="8" max="8" width="24.1640625" customWidth="1"/>
    <col min="9" max="9" width="22.33203125" customWidth="1"/>
    <col min="10" max="10" width="23.5" customWidth="1"/>
  </cols>
  <sheetData>
    <row r="4" spans="1:9" x14ac:dyDescent="0.2">
      <c r="B4" s="18" t="s">
        <v>0</v>
      </c>
      <c r="C4" s="19" t="s">
        <v>1</v>
      </c>
      <c r="D4" s="19" t="s">
        <v>2</v>
      </c>
      <c r="E4" s="19" t="s">
        <v>3</v>
      </c>
      <c r="F4" s="19" t="s">
        <v>4</v>
      </c>
      <c r="G4" s="19" t="s">
        <v>5</v>
      </c>
      <c r="H4" s="12" t="s">
        <v>29</v>
      </c>
      <c r="I4" s="13" t="s">
        <v>30</v>
      </c>
    </row>
    <row r="5" spans="1:9" x14ac:dyDescent="0.2">
      <c r="A5" s="9" t="s">
        <v>15</v>
      </c>
      <c r="B5" s="2">
        <v>1</v>
      </c>
      <c r="C5" s="1" t="s">
        <v>22</v>
      </c>
      <c r="D5" s="1" t="s">
        <v>21</v>
      </c>
      <c r="E5" s="2">
        <v>2</v>
      </c>
      <c r="F5" s="17">
        <v>3.77</v>
      </c>
      <c r="G5" s="11">
        <v>7.54</v>
      </c>
      <c r="H5" s="8" t="s">
        <v>26</v>
      </c>
      <c r="I5" s="15" t="s">
        <v>33</v>
      </c>
    </row>
    <row r="6" spans="1:9" x14ac:dyDescent="0.2">
      <c r="A6" s="10"/>
      <c r="B6" s="2">
        <v>2</v>
      </c>
      <c r="C6" s="1" t="s">
        <v>8</v>
      </c>
      <c r="D6" s="1" t="s">
        <v>21</v>
      </c>
      <c r="E6" s="2">
        <v>2</v>
      </c>
      <c r="F6" s="17">
        <v>0</v>
      </c>
      <c r="G6" s="11">
        <v>0</v>
      </c>
      <c r="H6" s="7" t="s">
        <v>27</v>
      </c>
      <c r="I6" s="16"/>
    </row>
    <row r="7" spans="1:9" x14ac:dyDescent="0.2">
      <c r="A7" s="10"/>
      <c r="B7" s="2">
        <v>3</v>
      </c>
      <c r="C7" s="1" t="s">
        <v>7</v>
      </c>
      <c r="D7" s="1" t="s">
        <v>21</v>
      </c>
      <c r="E7" s="2">
        <v>5</v>
      </c>
      <c r="F7" s="17">
        <v>2.2999999999999998</v>
      </c>
      <c r="G7" s="11">
        <v>11.48</v>
      </c>
      <c r="H7" s="8" t="s">
        <v>25</v>
      </c>
      <c r="I7" s="15" t="s">
        <v>34</v>
      </c>
    </row>
    <row r="8" spans="1:9" x14ac:dyDescent="0.2">
      <c r="A8" s="10"/>
      <c r="B8" s="2">
        <v>4</v>
      </c>
      <c r="C8" s="1" t="s">
        <v>9</v>
      </c>
      <c r="D8" s="1" t="s">
        <v>21</v>
      </c>
      <c r="E8" s="2">
        <v>2</v>
      </c>
      <c r="F8" s="17">
        <v>11.68</v>
      </c>
      <c r="G8" s="11">
        <v>23.36</v>
      </c>
      <c r="H8" s="8" t="s">
        <v>23</v>
      </c>
      <c r="I8" s="15" t="s">
        <v>35</v>
      </c>
    </row>
    <row r="9" spans="1:9" x14ac:dyDescent="0.2">
      <c r="A9" s="10"/>
      <c r="B9" s="2">
        <v>5</v>
      </c>
      <c r="C9" s="1" t="s">
        <v>10</v>
      </c>
      <c r="D9" s="1" t="s">
        <v>21</v>
      </c>
      <c r="E9" s="2">
        <v>2</v>
      </c>
      <c r="F9" s="17">
        <v>1.79</v>
      </c>
      <c r="G9" s="11">
        <v>3.57</v>
      </c>
      <c r="H9" s="8" t="s">
        <v>26</v>
      </c>
      <c r="I9" s="15" t="s">
        <v>36</v>
      </c>
    </row>
    <row r="10" spans="1:9" x14ac:dyDescent="0.2">
      <c r="A10" s="10"/>
      <c r="B10" s="2">
        <v>6</v>
      </c>
      <c r="C10" s="1" t="s">
        <v>14</v>
      </c>
      <c r="D10" s="1" t="s">
        <v>21</v>
      </c>
      <c r="E10" s="2">
        <v>1</v>
      </c>
      <c r="F10" s="17">
        <v>3.71</v>
      </c>
      <c r="G10" s="11">
        <v>3.71</v>
      </c>
      <c r="H10" s="8" t="s">
        <v>26</v>
      </c>
      <c r="I10" s="15" t="s">
        <v>37</v>
      </c>
    </row>
    <row r="11" spans="1:9" x14ac:dyDescent="0.2">
      <c r="A11" s="10"/>
      <c r="B11" s="2">
        <v>7</v>
      </c>
      <c r="C11" s="1" t="s">
        <v>16</v>
      </c>
      <c r="D11" s="1" t="s">
        <v>21</v>
      </c>
      <c r="E11" s="2">
        <v>1</v>
      </c>
      <c r="F11" s="17">
        <v>4.7699999999999996</v>
      </c>
      <c r="G11" s="11">
        <v>4.7699999999999996</v>
      </c>
      <c r="H11" s="8" t="s">
        <v>23</v>
      </c>
      <c r="I11" s="15" t="s">
        <v>38</v>
      </c>
    </row>
    <row r="12" spans="1:9" x14ac:dyDescent="0.2">
      <c r="A12" s="23"/>
      <c r="B12" s="22">
        <v>8</v>
      </c>
      <c r="C12" s="21" t="s">
        <v>46</v>
      </c>
      <c r="D12" s="21" t="s">
        <v>21</v>
      </c>
      <c r="E12" s="22">
        <v>2</v>
      </c>
      <c r="F12" s="25">
        <f>G12/E12</f>
        <v>12.744999999999999</v>
      </c>
      <c r="G12" s="24">
        <v>25.49</v>
      </c>
      <c r="H12" s="26" t="s">
        <v>48</v>
      </c>
      <c r="I12" s="27" t="s">
        <v>49</v>
      </c>
    </row>
    <row r="13" spans="1:9" x14ac:dyDescent="0.2">
      <c r="A13" s="9" t="s">
        <v>17</v>
      </c>
      <c r="B13" s="2">
        <v>9</v>
      </c>
      <c r="C13" s="1" t="s">
        <v>28</v>
      </c>
      <c r="D13" s="1" t="s">
        <v>21</v>
      </c>
      <c r="E13" s="2">
        <v>1</v>
      </c>
      <c r="F13" s="17">
        <v>1.59</v>
      </c>
      <c r="G13" s="11">
        <v>1.59</v>
      </c>
      <c r="H13" s="8" t="s">
        <v>23</v>
      </c>
      <c r="I13" s="15" t="s">
        <v>39</v>
      </c>
    </row>
    <row r="14" spans="1:9" x14ac:dyDescent="0.2">
      <c r="A14" s="10"/>
      <c r="B14" s="2">
        <v>10</v>
      </c>
      <c r="C14" s="1" t="s">
        <v>11</v>
      </c>
      <c r="D14" s="1" t="s">
        <v>21</v>
      </c>
      <c r="E14" s="2">
        <v>2</v>
      </c>
      <c r="F14" s="17">
        <v>0.8</v>
      </c>
      <c r="G14" s="11">
        <v>1.59</v>
      </c>
      <c r="H14" s="8" t="s">
        <v>23</v>
      </c>
      <c r="I14" s="15" t="s">
        <v>40</v>
      </c>
    </row>
    <row r="15" spans="1:9" x14ac:dyDescent="0.2">
      <c r="A15" s="9" t="s">
        <v>18</v>
      </c>
      <c r="B15" s="2">
        <v>11</v>
      </c>
      <c r="C15" s="1" t="s">
        <v>12</v>
      </c>
      <c r="D15" s="1" t="s">
        <v>21</v>
      </c>
      <c r="E15" s="2">
        <v>1</v>
      </c>
      <c r="F15" s="17">
        <v>13.29</v>
      </c>
      <c r="G15" s="11">
        <v>13.29</v>
      </c>
      <c r="H15" s="8" t="s">
        <v>24</v>
      </c>
      <c r="I15" s="15" t="s">
        <v>31</v>
      </c>
    </row>
    <row r="16" spans="1:9" x14ac:dyDescent="0.2">
      <c r="A16" s="10"/>
      <c r="B16" s="2">
        <v>12</v>
      </c>
      <c r="C16" s="1" t="s">
        <v>43</v>
      </c>
      <c r="D16" s="1" t="s">
        <v>21</v>
      </c>
      <c r="E16" s="2">
        <v>4</v>
      </c>
      <c r="F16" s="17">
        <v>3.77</v>
      </c>
      <c r="G16" s="11">
        <v>7.54</v>
      </c>
      <c r="H16" s="8" t="s">
        <v>26</v>
      </c>
      <c r="I16" s="15" t="s">
        <v>33</v>
      </c>
    </row>
    <row r="17" spans="1:9" x14ac:dyDescent="0.2">
      <c r="A17" s="9" t="s">
        <v>47</v>
      </c>
      <c r="B17" s="2">
        <v>13</v>
      </c>
      <c r="C17" s="1" t="s">
        <v>13</v>
      </c>
      <c r="D17" s="1" t="s">
        <v>21</v>
      </c>
      <c r="E17" s="2">
        <v>1</v>
      </c>
      <c r="F17" s="17">
        <v>0</v>
      </c>
      <c r="G17" s="17">
        <v>0</v>
      </c>
      <c r="H17" s="6" t="s">
        <v>32</v>
      </c>
      <c r="I17" s="15" t="s">
        <v>33</v>
      </c>
    </row>
    <row r="18" spans="1:9" x14ac:dyDescent="0.2">
      <c r="A18" s="10"/>
      <c r="B18" s="2">
        <v>14</v>
      </c>
      <c r="C18" s="1" t="s">
        <v>44</v>
      </c>
      <c r="D18" s="1" t="s">
        <v>21</v>
      </c>
      <c r="E18" s="2">
        <v>1</v>
      </c>
      <c r="F18" s="17">
        <v>0</v>
      </c>
      <c r="G18" s="17">
        <v>0</v>
      </c>
      <c r="H18" s="6" t="s">
        <v>32</v>
      </c>
      <c r="I18" s="14"/>
    </row>
    <row r="19" spans="1:9" x14ac:dyDescent="0.2">
      <c r="A19" s="10"/>
      <c r="B19" s="2">
        <v>15</v>
      </c>
      <c r="C19" s="1" t="s">
        <v>41</v>
      </c>
      <c r="D19" s="1" t="s">
        <v>21</v>
      </c>
      <c r="E19" s="2">
        <v>1</v>
      </c>
      <c r="F19" s="17">
        <v>0</v>
      </c>
      <c r="G19" s="17">
        <v>0</v>
      </c>
      <c r="H19" s="6" t="s">
        <v>32</v>
      </c>
      <c r="I19" s="14"/>
    </row>
    <row r="20" spans="1:9" x14ac:dyDescent="0.2">
      <c r="A20" s="10"/>
      <c r="B20" s="2">
        <v>16</v>
      </c>
      <c r="C20" s="1" t="s">
        <v>42</v>
      </c>
      <c r="D20" s="1" t="s">
        <v>21</v>
      </c>
      <c r="E20" s="2">
        <v>2</v>
      </c>
      <c r="F20" s="17">
        <v>0</v>
      </c>
      <c r="G20" s="17">
        <v>0</v>
      </c>
      <c r="H20" s="6" t="s">
        <v>32</v>
      </c>
      <c r="I20" s="14"/>
    </row>
    <row r="21" spans="1:9" x14ac:dyDescent="0.2">
      <c r="A21" s="10"/>
      <c r="B21" s="2">
        <v>17</v>
      </c>
      <c r="C21" s="1" t="s">
        <v>19</v>
      </c>
      <c r="D21" s="1" t="s">
        <v>21</v>
      </c>
      <c r="E21" s="2">
        <v>3</v>
      </c>
      <c r="F21" s="17">
        <v>0</v>
      </c>
      <c r="G21" s="17">
        <v>0</v>
      </c>
      <c r="H21" s="6" t="s">
        <v>32</v>
      </c>
      <c r="I21" s="14"/>
    </row>
    <row r="22" spans="1:9" x14ac:dyDescent="0.2">
      <c r="A22" s="10"/>
      <c r="B22" s="4">
        <v>18</v>
      </c>
      <c r="C22" s="1" t="s">
        <v>20</v>
      </c>
      <c r="D22" s="1" t="s">
        <v>21</v>
      </c>
      <c r="E22" s="2">
        <v>1</v>
      </c>
      <c r="F22" s="17">
        <v>0</v>
      </c>
      <c r="G22" s="17">
        <v>0</v>
      </c>
      <c r="H22" s="6" t="s">
        <v>32</v>
      </c>
      <c r="I22" s="10"/>
    </row>
    <row r="23" spans="1:9" x14ac:dyDescent="0.2">
      <c r="A23" s="10"/>
      <c r="B23" s="2">
        <v>19</v>
      </c>
      <c r="C23" s="1" t="s">
        <v>45</v>
      </c>
      <c r="D23" s="1" t="s">
        <v>21</v>
      </c>
      <c r="E23" s="2">
        <v>2</v>
      </c>
      <c r="F23" s="17">
        <v>0</v>
      </c>
      <c r="G23" s="17">
        <v>0</v>
      </c>
      <c r="H23" s="6" t="s">
        <v>32</v>
      </c>
      <c r="I23" s="10"/>
    </row>
    <row r="24" spans="1:9" x14ac:dyDescent="0.2">
      <c r="A24" s="10"/>
      <c r="B24" s="20"/>
      <c r="C24" s="10"/>
      <c r="D24" s="10"/>
      <c r="E24" s="10"/>
      <c r="F24" s="5" t="s">
        <v>6</v>
      </c>
      <c r="G24" s="3">
        <f>SUM(G5:G23)</f>
        <v>103.92999999999999</v>
      </c>
      <c r="H24" s="10"/>
      <c r="I24" s="10"/>
    </row>
  </sheetData>
  <hyperlinks>
    <hyperlink ref="H7" r:id="rId1" xr:uid="{3E2EB5F3-EE75-B34A-A5BF-2BD830A52B11}"/>
    <hyperlink ref="H8" r:id="rId2" xr:uid="{0BC7904F-4847-344F-AC90-53745459E7EA}"/>
    <hyperlink ref="H9" r:id="rId3" xr:uid="{3E914B5A-D27F-104A-8276-BBB1B778CD6D}"/>
    <hyperlink ref="H5" r:id="rId4" xr:uid="{4D5A7E1D-129F-564B-84A0-E97FCAE1CB19}"/>
    <hyperlink ref="H10" r:id="rId5" xr:uid="{A2CBC1C8-3103-C942-BBED-A69E2D40CA9E}"/>
    <hyperlink ref="H11" r:id="rId6" xr:uid="{42BD8792-B78E-2340-9495-995F45BB2945}"/>
    <hyperlink ref="H16" r:id="rId7" xr:uid="{5D3B8D06-A29E-264C-945C-ECD6351B23B7}"/>
    <hyperlink ref="H14" r:id="rId8" xr:uid="{270A1EFC-6AA4-3F46-B0F9-E9B13A708630}"/>
    <hyperlink ref="H13" r:id="rId9" xr:uid="{0F9217F6-57DD-D842-A1AD-74059510F5C3}"/>
    <hyperlink ref="H15" r:id="rId10" xr:uid="{E4544A89-DE7A-2944-9209-6476ED0EFB7F}"/>
    <hyperlink ref="H12" r:id="rId11" xr:uid="{4AB2FDE0-66A1-1142-92B1-EE93E36787F8}"/>
  </hyperlinks>
  <pageMargins left="0.7" right="0.7" top="0.75" bottom="0.75" header="0.3" footer="0.3"/>
  <pageSetup scale="54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salamah</dc:creator>
  <cp:lastModifiedBy>dalia salamah</cp:lastModifiedBy>
  <dcterms:created xsi:type="dcterms:W3CDTF">2026-03-03T18:58:17Z</dcterms:created>
  <dcterms:modified xsi:type="dcterms:W3CDTF">2026-04-09T04:09:34Z</dcterms:modified>
</cp:coreProperties>
</file>